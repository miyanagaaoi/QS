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5CD849D-8B50-46DC-984D-86021BE195FE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工期计划表" sheetId="2" r:id="rId1"/>
    <sheet name="说明" sheetId="3" r:id="rId2"/>
    <sheet name="多项目进展总表" sheetId="4" r:id="rId3"/>
    <sheet name="施工实施步骤明细" sheetId="5" r:id="rId4"/>
    <sheet name="预算决算管理点" sheetId="6" r:id="rId5"/>
    <sheet name="预算决算配套单据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G5" i="4"/>
  <c r="F5" i="4"/>
  <c r="H4" i="4"/>
  <c r="G4" i="4"/>
  <c r="F4" i="4"/>
  <c r="H3" i="4"/>
  <c r="G3" i="4"/>
  <c r="F3" i="4"/>
  <c r="H2" i="4"/>
  <c r="G2" i="4"/>
  <c r="F2" i="4"/>
  <c r="D1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F14" i="2"/>
  <c r="D14" i="2"/>
  <c r="E12" i="2"/>
  <c r="F12" i="2"/>
</calcChain>
</file>

<file path=xl/sharedStrings.xml><?xml version="1.0" encoding="utf-8"?>
<sst xmlns="http://schemas.openxmlformats.org/spreadsheetml/2006/main" count="314" uniqueCount="289">
  <si>
    <t>工程项目全周期工期计划表（示例数据 · 典型中型工程参考）</t>
  </si>
  <si>
    <t>口径：累计月数从立项决策起算；工期为参考比例，实际项目按合同与施组调整；第8阶段缺陷保修为质保期（通常24个月），不计入建设工期合计。</t>
  </si>
  <si>
    <t>序号</t>
  </si>
  <si>
    <t>阶段名称</t>
  </si>
  <si>
    <t>阶段组</t>
  </si>
  <si>
    <t>工期(月)</t>
  </si>
  <si>
    <t>开始月
(累计)</t>
  </si>
  <si>
    <t>结束月
(累计)</t>
  </si>
  <si>
    <t>关键交付物 / 里程碑</t>
  </si>
  <si>
    <t>项目经理角色</t>
  </si>
  <si>
    <t>责任主体</t>
  </si>
  <si>
    <t>决策立项</t>
  </si>
  <si>
    <t>决策阶段</t>
  </si>
  <si>
    <t>项目建议书、可研报告、立项批复/备案文件</t>
  </si>
  <si>
    <t>尚未介入（甲方主导）</t>
  </si>
  <si>
    <t>甲方</t>
  </si>
  <si>
    <t>勘察设计</t>
  </si>
  <si>
    <t>准备阶段</t>
  </si>
  <si>
    <t>地质勘察、初步设计、施工图、审图合格书</t>
  </si>
  <si>
    <t>尚未介入（设计/甲方）</t>
  </si>
  <si>
    <t>设计单位</t>
  </si>
  <si>
    <t>招标签约</t>
  </si>
  <si>
    <t>准备阶段</t>
  </si>
  <si>
    <t>招标文件、中标通知书、工程合同</t>
  </si>
  <si>
    <t>参与投标与合同谈判</t>
  </si>
  <si>
    <t>甲方/总包</t>
  </si>
  <si>
    <t>施工准备</t>
  </si>
  <si>
    <t>准备阶段</t>
  </si>
  <si>
    <t>施工许可证、施组报审、项目管理目标责任书</t>
  </si>
  <si>
    <t>★ 正式进场履职</t>
  </si>
  <si>
    <t>施工方</t>
  </si>
  <si>
    <t>施工实施</t>
  </si>
  <si>
    <t>实施阶段</t>
  </si>
  <si>
    <t>分部分项验收、隐蔽验收、变更签证记录</t>
  </si>
  <si>
    <t>★ 全周期第一责任人</t>
  </si>
  <si>
    <t>施工方</t>
  </si>
  <si>
    <t>调试试运行</t>
  </si>
  <si>
    <t>实施阶段</t>
  </si>
  <si>
    <t>单机调试、联动调试报告、试运行记录</t>
  </si>
  <si>
    <t>★ 组织调试与整改</t>
  </si>
  <si>
    <t>施工方</t>
  </si>
  <si>
    <t>竣工验收</t>
  </si>
  <si>
    <t>验收交付</t>
  </si>
  <si>
    <t>五方竣工验收报告、规划/消防/档案验收、备案表</t>
  </si>
  <si>
    <t>★ 组织验收与移交</t>
  </si>
  <si>
    <t>五方/甲方</t>
  </si>
  <si>
    <t>缺陷保修</t>
  </si>
  <si>
    <t>验收交付</t>
  </si>
  <si>
    <t>保修书、缺陷维修记录、质保金结算单</t>
  </si>
  <si>
    <t>保修期内牵头处理</t>
  </si>
  <si>
    <t>施工方</t>
  </si>
  <si>
    <t>建设工期合计（序号1-7，不含质保期）</t>
  </si>
  <si>
    <t>项目经理在场期合计（序号4-7：施工准备→竣工验收）</t>
  </si>
  <si>
    <t>工程项目全周期工期计划表 — 数据口径说明</t>
  </si>
  <si>
    <t>1. 阶段划分：甲方视角全周期 8 阶段（决策立项→勘察设计→招标签约→施工准备→施工实施→调试试运行→竣工验收→缺陷保修）。</t>
  </si>
  <si>
    <t>2. 工期单位：月；开始月/结束月为从立项决策起算的累计月数，由公式自动联动（结束月=开始月+工期，下一行开始月=上一行结束月）。</t>
  </si>
  <si>
    <t>3. 本表工期为典型中型工程项目的参考比例（示例数据），非具体项目合同工期；实际使用时只需修改 D 列工期，开始/结束月自动重算。</t>
  </si>
  <si>
    <t>4. 缺陷保修（质保期）通常 24 个月，单列不计入“建设工期合计”。</t>
  </si>
  <si>
    <t>5. ★ 标记 = 项目经理正式履职节点（施工准备阶段进场）；项目经理在场期 = 施工准备→竣工验收（序号4-7）。</t>
  </si>
  <si>
    <t>6. 阶段组配色：灰=决策、青=准备、橙=实施、绿=验收交付。</t>
  </si>
  <si>
    <t>序号</t>
  </si>
  <si>
    <t>项目名称</t>
  </si>
  <si>
    <t>当前阶段</t>
  </si>
  <si>
    <t>开工日期</t>
  </si>
  <si>
    <t>计划竣工日期</t>
  </si>
  <si>
    <t>总工期(月)</t>
  </si>
  <si>
    <t>已进行(月)</t>
  </si>
  <si>
    <t>剩余(月)</t>
  </si>
  <si>
    <t>项目经理</t>
  </si>
  <si>
    <t>关键节点 / 备注</t>
  </si>
  <si>
    <t>忻州热力天然气补能项目</t>
  </si>
  <si>
    <t>汽贸园项目</t>
  </si>
  <si>
    <t>施工准备</t>
  </si>
  <si>
    <t>轴承厂项目</t>
  </si>
  <si>
    <t>师范东区项目</t>
  </si>
  <si>
    <t>序号</t>
  </si>
  <si>
    <t>工序分组</t>
  </si>
  <si>
    <t>工序名称</t>
  </si>
  <si>
    <t>主要工作内容</t>
  </si>
  <si>
    <t>质量控制点 / 关键验收</t>
  </si>
  <si>
    <t>紧前工序</t>
  </si>
  <si>
    <t>土建工程</t>
  </si>
  <si>
    <t>测量放线定位</t>
  </si>
  <si>
    <t>依据规划红线与控制网，测设建筑物轴线、标高基准点，设置永久控制桩</t>
  </si>
  <si>
    <t>轴线偏差、标高闭合差经监理复核签认</t>
  </si>
  <si>
    <t>施工准备完成</t>
  </si>
  <si>
    <t>土方开挖与基坑支护</t>
  </si>
  <si>
    <t>基槽/基坑开挖、放坡或支护、井点降水、清底</t>
  </si>
  <si>
    <t>基坑尺寸/标高、边坡稳定、降水到位</t>
  </si>
  <si>
    <t>测量放线</t>
  </si>
  <si>
    <t>地基验槽与处理</t>
  </si>
  <si>
    <t>钎探、五方验槽，软弱地基换填/加固处理</t>
  </si>
  <si>
    <t>地基承载力符合勘察报告，验槽记录签证</t>
  </si>
  <si>
    <t>开挖完成</t>
  </si>
  <si>
    <t>设备基础与构筑物施工</t>
  </si>
  <si>
    <t>钢筋绑扎、模板支设、混凝土浇筑养护；预留地脚螺栓孔/预埋套管</t>
  </si>
  <si>
    <t>基础尺寸、标高、螺栓孔位置偏差；混凝土强度试块</t>
  </si>
  <si>
    <t>验槽合格</t>
  </si>
  <si>
    <t>主体结构与厂房施工</t>
  </si>
  <si>
    <t>框架结构、砌体、屋面、外墙施工</t>
  </si>
  <si>
    <t>混凝土强度、垂直度、观感质量</t>
  </si>
  <si>
    <t>基础验收</t>
  </si>
  <si>
    <t>土方回填</t>
  </si>
  <si>
    <t>基础/管沟两侧分层回填、机械夯实</t>
  </si>
  <si>
    <t>分层厚度、压实系数检测合格</t>
  </si>
  <si>
    <t>基础隐蔽验收</t>
  </si>
  <si>
    <t>设备安装</t>
  </si>
  <si>
    <t>设备吊装就位找正</t>
  </si>
  <si>
    <t>锅炉/换热器/泵组/蓄热罐等设备吊装、就位、找平找正</t>
  </si>
  <si>
    <t>设备水平度、中心线/标高偏差符合设备技术文件</t>
  </si>
  <si>
    <t>基础强度达标</t>
  </si>
  <si>
    <t>工艺管道安装</t>
  </si>
  <si>
    <t>供热管网/工艺管道组对、焊接、支吊架安装</t>
  </si>
  <si>
    <t>焊接工艺评定、焊缝外观/探伤、管道坡度</t>
  </si>
  <si>
    <t>设备就位</t>
  </si>
  <si>
    <t>阀门及附件安装</t>
  </si>
  <si>
    <t>阀门、波纹补偿器、法兰、疏水器安装</t>
  </si>
  <si>
    <t>阀门方向/焊接角度正确、强度与严密性试验</t>
  </si>
  <si>
    <t>管道安装</t>
  </si>
  <si>
    <t>电仪自控</t>
  </si>
  <si>
    <t>电气系统安装</t>
  </si>
  <si>
    <t>配电柜/控制柜安装、电缆敷设接线、接地网施工</t>
  </si>
  <si>
    <t>绝缘电阻、接地电阻测试合格</t>
  </si>
  <si>
    <t>仪表与自控安装</t>
  </si>
  <si>
    <t>温度/压力/流量计安装校验，DCS/PLC回路接线</t>
  </si>
  <si>
    <t>仪表单体校验、回路联调信号正确</t>
  </si>
  <si>
    <t>防腐保温</t>
  </si>
  <si>
    <t>除锈防腐与保温施工</t>
  </si>
  <si>
    <t>管道设备除锈、防腐涂层、保温层/保护层施工</t>
  </si>
  <si>
    <t>除锈等级、涂层厚度、保温密度与外护密封</t>
  </si>
  <si>
    <t>系统试压合格</t>
  </si>
  <si>
    <t>试验检验</t>
  </si>
  <si>
    <t>系统试压/吹扫/闭水</t>
  </si>
  <si>
    <t>水压试验、气压试验、管道吹扫、闭水试验</t>
  </si>
  <si>
    <t>试验压力达标、保压无压降、无渗漏</t>
  </si>
  <si>
    <t>安装完成</t>
  </si>
  <si>
    <t>隐蔽工程验收</t>
  </si>
  <si>
    <t>埋地管道、地下构筑物、预埋件覆土前验收签证</t>
  </si>
  <si>
    <t>隐蔽验收记录、影像资料齐全</t>
  </si>
  <si>
    <t>覆土/封闭前</t>
  </si>
  <si>
    <t>分部分项工程验收</t>
  </si>
  <si>
    <t>各分部工程报验、监理签认，资料整理归档</t>
  </si>
  <si>
    <t>分部分项验收记录闭环、质量评定合格</t>
  </si>
  <si>
    <t>各工序完成</t>
  </si>
  <si>
    <t>序号</t>
  </si>
  <si>
    <t>环节</t>
  </si>
  <si>
    <t>管理点</t>
  </si>
  <si>
    <t>关键控制动作</t>
  </si>
  <si>
    <t>常见风险 / 红线</t>
  </si>
  <si>
    <t>责任主体</t>
  </si>
  <si>
    <t>预算编制</t>
  </si>
  <si>
    <t>施工图预算</t>
  </si>
  <si>
    <t>量价分离编制，复核清单工程量，定额套用准确</t>
  </si>
  <si>
    <t>高套定额、量差漏项</t>
  </si>
  <si>
    <t>造价部</t>
  </si>
  <si>
    <t>招标控制价</t>
  </si>
  <si>
    <t>控制价不得突破批准概算，编制依据合规留痕</t>
  </si>
  <si>
    <t>控制价泄露、高估冒算</t>
  </si>
  <si>
    <t>甲方/造价</t>
  </si>
  <si>
    <t>合同价与计价方式</t>
  </si>
  <si>
    <t>明确固定单价/总价、调价条款、结算口径与漏项处理</t>
  </si>
  <si>
    <t>闭口开口不清、漏项扯皮</t>
  </si>
  <si>
    <t>合同/造价</t>
  </si>
  <si>
    <t>过程管控</t>
  </si>
  <si>
    <t>变更签证</t>
  </si>
  <si>
    <t>先批后干、一事一签、当月签证当月清理闭环</t>
  </si>
  <si>
    <t>先干后批、无签证先施工、口头变更</t>
  </si>
  <si>
    <t>项目经理/造价</t>
  </si>
  <si>
    <t>进度款支付</t>
  </si>
  <si>
    <t>按现场实际计量支付，控制比例，预付款逐次扣回</t>
  </si>
  <si>
    <t>超付、重复计量、未达节点付款</t>
  </si>
  <si>
    <t>财务/造价</t>
  </si>
  <si>
    <t>材料设备价格</t>
  </si>
  <si>
    <t>集中采购、三方询价，材料价差按合同约定调整</t>
  </si>
  <si>
    <t>价高无依据、以次充好、无询价留痕</t>
  </si>
  <si>
    <t>采购/造价</t>
  </si>
  <si>
    <t>动态成本台账</t>
  </si>
  <si>
    <t>目标成本 vs 动态成本逐月对比，超阈值预警</t>
  </si>
  <si>
    <t>超概不预警、成本敞口失控</t>
  </si>
  <si>
    <t>竣工结算</t>
  </si>
  <si>
    <t>结算资料完整性</t>
  </si>
  <si>
    <t>合同、变更签证、验收记录、竣工图全套归档</t>
  </si>
  <si>
    <t>资料缺失导致结算久拖或被审减</t>
  </si>
  <si>
    <t>项目经理/资料员</t>
  </si>
  <si>
    <t>工程量核对</t>
  </si>
  <si>
    <t>现场实量对照清单，隐蔽工程量凭验收记录</t>
  </si>
  <si>
    <t>工程量虚增、重复计量</t>
  </si>
  <si>
    <t>造价/审计</t>
  </si>
  <si>
    <t>定额取费</t>
  </si>
  <si>
    <t>按工程类别取费，杜绝重复计费与高套</t>
  </si>
  <si>
    <t>高套取费、同一工序重复计列</t>
  </si>
  <si>
    <t>材料价差结算</t>
  </si>
  <si>
    <t>价差调整附询价记录与采购发票</t>
  </si>
  <si>
    <t>价差无凭证、按臆估价调整</t>
  </si>
  <si>
    <t>造价/财务</t>
  </si>
  <si>
    <t>财务决算</t>
  </si>
  <si>
    <t>竣工财务决算</t>
  </si>
  <si>
    <t>项目总投资完整归集、资产交付与转固</t>
  </si>
  <si>
    <t>成本归集错位、费用资本化/费用化混淆</t>
  </si>
  <si>
    <t>财务部</t>
  </si>
  <si>
    <t>质保金管理</t>
  </si>
  <si>
    <t>按合同比例预留质保金，保修期满无缺陷再返还</t>
  </si>
  <si>
    <t>提前返还、漏扣质保金</t>
  </si>
  <si>
    <t>财务/项目经理</t>
  </si>
  <si>
    <t>审计配合</t>
  </si>
  <si>
    <t>内外审计应对</t>
  </si>
  <si>
    <t>配合第三方造价审核与 ASP 审计，签证资料可追溯</t>
  </si>
  <si>
    <t>签证不全被大额审减、资料链条断裂</t>
  </si>
  <si>
    <t>项目部全员</t>
  </si>
  <si>
    <t>序号</t>
  </si>
  <si>
    <t>对应管理点</t>
  </si>
  <si>
    <t>单据名称</t>
  </si>
  <si>
    <t>用途 / 使用时机</t>
  </si>
  <si>
    <t>核心栏目（必填字段）</t>
  </si>
  <si>
    <t>审批流转节点</t>
  </si>
  <si>
    <t>归档要求</t>
  </si>
  <si>
    <t>施工图预算</t>
  </si>
  <si>
    <t>施工图预算编制表</t>
  </si>
  <si>
    <t>开工前编制，作为项目成本基准</t>
  </si>
  <si>
    <t>分部工程、清单工程量、定额子目、综合单价、合价、编制人</t>
  </si>
  <si>
    <t>造价编制 → 造价负责人复核 → 总工审批</t>
  </si>
  <si>
    <t>随竣工资料归档，作为结算对比基准</t>
  </si>
  <si>
    <t>招标控制价</t>
  </si>
  <si>
    <t>招标控制价审批单</t>
  </si>
  <si>
    <t>招标前内部审批，防突破概算</t>
  </si>
  <si>
    <t>项目名称、控制价金额、对应概算批复额、是否超概、编制依据</t>
  </si>
  <si>
    <t>造价编制 → 财务复核 → 分管领导批准</t>
  </si>
  <si>
    <t>与招标文件一并归档</t>
  </si>
  <si>
    <t>合同价与计价方式</t>
  </si>
  <si>
    <t>合同评审会签单</t>
  </si>
  <si>
    <t>签约前多部门评审计价与结算条款</t>
  </si>
  <si>
    <t>计价方式、调价条款、付款节点、结算口径、违约条款、各部门意见</t>
  </si>
  <si>
    <t>造价/财务/法务/项目经理会签 → 分管领导批准</t>
  </si>
  <si>
    <t>与合同正本一同归档</t>
  </si>
  <si>
    <t>变更签证</t>
  </si>
  <si>
    <t>工程变更签证单</t>
  </si>
  <si>
    <t>现场发生变更/签证时，先批后干</t>
  </si>
  <si>
    <t>变更原因、变更内容附图、工程量增减、费用增减、工期影响</t>
  </si>
  <si>
    <t>施工提出 → 监理审核 → 项目经理 → 造价核实 → 业主批准</t>
  </si>
  <si>
    <t>一事一单当月归档，结算必备依据</t>
  </si>
  <si>
    <t>进度款支付</t>
  </si>
  <si>
    <t>工程进度款支付申请单</t>
  </si>
  <si>
    <t>按月或按节点申报进度款</t>
  </si>
  <si>
    <t>本期完成工程量、本期应付比例、累计完成、累计已付、预付款扣回、发票号</t>
  </si>
  <si>
    <t>施工申报 → 监理计量 → 造价审核 → 财务支付</t>
  </si>
  <si>
    <t>按月装订，与付款凭证对应</t>
  </si>
  <si>
    <t>材料设备价格</t>
  </si>
  <si>
    <t>材料设备采购定价单</t>
  </si>
  <si>
    <t>大宗材料/设备采购前定价留痕</t>
  </si>
  <si>
    <t>材料名称规格、三家报价对比、选定价、供应商、询价人、拟用部位</t>
  </si>
  <si>
    <t>采购询价 → 造价核价 → 分管领导批准</t>
  </si>
  <si>
    <t>作为材料价差与结算依据归档</t>
  </si>
  <si>
    <t>动态成本台账</t>
  </si>
  <si>
    <t>动态成本月度对比表</t>
  </si>
  <si>
    <t>每月对比目标成本与实际成本并预警</t>
  </si>
  <si>
    <t>成本科目、目标成本、动态发生额、偏差率、超支原因与措施</t>
  </si>
  <si>
    <t>造价编制 → 项目经理审核 → 上报公司备案</t>
  </si>
  <si>
    <t>按月归档，超阈值页标注预警</t>
  </si>
  <si>
    <t>竣工结算资料/工程量/定额取费</t>
  </si>
  <si>
    <t>竣工结算报审表</t>
  </si>
  <si>
    <t>竣工验收后报送工程结算</t>
  </si>
  <si>
    <t>送审造价、合同价、变更签证合计、资料清单、应扣款项</t>
  </si>
  <si>
    <t>施工报送 → 监理初核 → 造价审核 → 审计定案</t>
  </si>
  <si>
    <t>结算资料全套归档，存档备查</t>
  </si>
  <si>
    <t>材料价差</t>
  </si>
  <si>
    <t>材料价差调整审批单</t>
  </si>
  <si>
    <t>按合同约定对主要材料调差</t>
  </si>
  <si>
    <t>材料名称、基准期价、施工期价、价差金额、采购发票号</t>
  </si>
  <si>
    <t>造价核算 → 财务复核 → 分管领导批准</t>
  </si>
  <si>
    <t>附发票与询价记录归档</t>
  </si>
  <si>
    <t>竣工财务决算</t>
  </si>
  <si>
    <t>竣工财务决算审批表</t>
  </si>
  <si>
    <t>项目完工后归集总投资、办理转固</t>
  </si>
  <si>
    <t>建安投资、设备投资、待摊投资、项目总投资、交付资产明细</t>
  </si>
  <si>
    <t>财务编制 → 审计复核 → 单位负责人批准</t>
  </si>
  <si>
    <t>作为资产入账依据永久归档</t>
  </si>
  <si>
    <t>质保金管理</t>
  </si>
  <si>
    <t>质保金支付申请单</t>
  </si>
  <si>
    <t>保修期满、无遗留缺陷后申请返还</t>
  </si>
  <si>
    <t>质保金额、保修期起止、缺陷维修记录、是否留存尾款</t>
  </si>
  <si>
    <t>项目经理确认无缺陷 → 财务核对 → 领导批准</t>
  </si>
  <si>
    <t>与保修记录、验收单对应归档</t>
  </si>
  <si>
    <t>审计配合</t>
  </si>
  <si>
    <t>审计审减确认单</t>
  </si>
  <si>
    <t>第三方造价/审计出具审减结果后双方确认</t>
  </si>
  <si>
    <t>送审额、审定额、审减额、审减原因、双方签章</t>
  </si>
  <si>
    <t>施工单位确认 → 造价核对 → 审计定案</t>
  </si>
  <si>
    <t>作为最终结算依据归档</t>
  </si>
  <si>
    <t>u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</si>
</sst>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12" x14ac:knownFonts="1">
    <font>
      <sz val="11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sz val="9"/>
      <color rgb="FF6B7280"/>
      <name val="微软雅黑"/>
      <family val="2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b/>
      <sz val="10"/>
      <color rgb="FFC2410C"/>
      <name val="微软雅黑"/>
      <family val="2"/>
    </font>
    <font>
      <b/>
      <sz val="10"/>
      <color rgb="FF1F4E79"/>
      <name val="微软雅黑"/>
      <family val="2"/>
    </font>
    <font>
      <b/>
      <sz val="12"/>
      <color rgb="FF1F4E79"/>
      <name val="微软雅黑"/>
      <family val="2"/>
    </font>
    <font>
      <sz val="10"/>
      <color rgb="FF374151"/>
      <name val="微软雅黑"/>
      <family val="2"/>
    </font>
    <font>
      <b/>
      <sz val="11"/>
      <color rgb="FFFFFFFF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370FF"/>
      </patternFill>
    </fill>
    <fill>
      <patternFill patternType="solid">
        <fgColor rgb="FFD9DEE6"/>
      </patternFill>
    </fill>
    <fill>
      <patternFill patternType="solid">
        <fgColor rgb="FFD6EAF0"/>
      </patternFill>
    </fill>
    <fill>
      <patternFill patternType="solid">
        <fgColor rgb="FFFDE8D5"/>
      </patternFill>
    </fill>
    <fill>
      <patternFill patternType="solid">
        <fgColor rgb="FFDCEFDF"/>
      </patternFill>
    </fill>
    <fill>
      <patternFill patternType="solid">
        <fgColor rgb="FFE1EAFF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D9DEE6"/>
      </patternFill>
    </fill>
    <fill>
      <patternFill patternType="solid">
        <fgColor rgb="FFFDE8D5"/>
      </patternFill>
    </fill>
    <fill>
      <patternFill patternType="solid">
        <fgColor rgb="FFD6EAF0"/>
      </patternFill>
    </fill>
    <fill>
      <patternFill patternType="solid">
        <fgColor rgb="FFFEF3C7"/>
      </patternFill>
    </fill>
    <fill>
      <patternFill patternType="solid">
        <fgColor rgb="FFDCEFDF"/>
      </patternFill>
    </fill>
    <fill>
      <patternFill patternType="solid">
        <fgColor rgb="FF1F4E79"/>
      </patternFill>
    </fill>
    <fill>
      <patternFill patternType="solid">
        <fgColor rgb="FFD6EAF0"/>
      </patternFill>
    </fill>
    <fill>
      <patternFill patternType="solid">
        <fgColor rgb="FFFDE8D5"/>
      </patternFill>
    </fill>
    <fill>
      <patternFill patternType="solid">
        <fgColor rgb="FFFEF3C7"/>
      </patternFill>
    </fill>
    <fill>
      <patternFill patternType="solid">
        <fgColor rgb="FFDCEFDF"/>
      </patternFill>
    </fill>
    <fill>
      <patternFill patternType="solid">
        <fgColor rgb="FFEDE9F7"/>
      </patternFill>
    </fill>
    <fill>
      <patternFill patternType="solid">
        <fgColor rgb="FF1F4E79"/>
      </patternFill>
    </fill>
    <fill>
      <patternFill patternType="solid">
        <fgColor rgb="FFD6EAF0"/>
      </patternFill>
    </fill>
    <fill>
      <patternFill patternType="solid">
        <fgColor rgb="FFFDE8D5"/>
      </patternFill>
    </fill>
    <fill>
      <patternFill patternType="solid">
        <fgColor rgb="FFFEF3C7"/>
      </patternFill>
    </fill>
    <fill>
      <patternFill patternType="solid">
        <fgColor rgb="FFDCEFD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/>
      <right/>
      <top style="thin">
        <color rgb="FFB8C7D9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84"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176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176" fontId="6" fillId="8" borderId="2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5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9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49" fontId="10" fillId="11" borderId="0" xfId="0" applyNumberFormat="1" applyFont="1" applyFill="1" applyAlignment="1">
      <alignment horizontal="center" vertical="center" wrapText="1"/>
    </xf>
    <xf numFmtId="49" fontId="10" fillId="11" borderId="0" xfId="0" applyNumberFormat="1" applyFont="1" applyFill="1" applyAlignment="1">
      <alignment horizontal="left" vertical="center" wrapText="1"/>
    </xf>
    <xf numFmtId="0" fontId="10" fillId="12" borderId="0" xfId="0" applyFont="1" applyFill="1" applyAlignment="1">
      <alignment horizontal="center" vertical="center" wrapText="1"/>
    </xf>
    <xf numFmtId="49" fontId="10" fillId="12" borderId="0" xfId="0" applyNumberFormat="1" applyFont="1" applyFill="1" applyAlignment="1">
      <alignment horizontal="center" vertical="center" wrapText="1"/>
    </xf>
    <xf numFmtId="49" fontId="10" fillId="12" borderId="0" xfId="0" applyNumberFormat="1" applyFont="1" applyFill="1" applyAlignment="1">
      <alignment horizontal="left" vertical="center" wrapText="1"/>
    </xf>
    <xf numFmtId="0" fontId="10" fillId="13" borderId="0" xfId="0" applyFont="1" applyFill="1" applyAlignment="1">
      <alignment horizontal="center" vertical="center" wrapText="1"/>
    </xf>
    <xf numFmtId="49" fontId="10" fillId="13" borderId="0" xfId="0" applyNumberFormat="1" applyFont="1" applyFill="1" applyAlignment="1">
      <alignment horizontal="center" vertical="center" wrapText="1"/>
    </xf>
    <xf numFmtId="49" fontId="10" fillId="13" borderId="0" xfId="0" applyNumberFormat="1" applyFont="1" applyFill="1" applyAlignment="1">
      <alignment horizontal="left" vertical="center" wrapText="1"/>
    </xf>
    <xf numFmtId="0" fontId="10" fillId="14" borderId="0" xfId="0" applyFont="1" applyFill="1" applyAlignment="1">
      <alignment horizontal="center" vertical="center" wrapText="1"/>
    </xf>
    <xf numFmtId="49" fontId="10" fillId="14" borderId="0" xfId="0" applyNumberFormat="1" applyFont="1" applyFill="1" applyAlignment="1">
      <alignment horizontal="center" vertical="center" wrapText="1"/>
    </xf>
    <xf numFmtId="49" fontId="10" fillId="14" borderId="0" xfId="0" applyNumberFormat="1" applyFont="1" applyFill="1" applyAlignment="1">
      <alignment horizontal="left" vertical="center" wrapText="1"/>
    </xf>
    <xf numFmtId="0" fontId="10" fillId="15" borderId="0" xfId="0" applyFont="1" applyFill="1" applyAlignment="1">
      <alignment horizontal="center" vertical="center" wrapText="1"/>
    </xf>
    <xf numFmtId="49" fontId="10" fillId="15" borderId="0" xfId="0" applyNumberFormat="1" applyFont="1" applyFill="1" applyAlignment="1">
      <alignment horizontal="center" vertical="center" wrapText="1"/>
    </xf>
    <xf numFmtId="49" fontId="10" fillId="15" borderId="0" xfId="0" applyNumberFormat="1" applyFont="1" applyFill="1" applyAlignment="1">
      <alignment horizontal="left" vertical="center" wrapText="1"/>
    </xf>
    <xf numFmtId="0" fontId="9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 wrapText="1"/>
    </xf>
    <xf numFmtId="49" fontId="10" fillId="17" borderId="0" xfId="0" applyNumberFormat="1" applyFont="1" applyFill="1" applyAlignment="1">
      <alignment horizontal="center" vertical="center" wrapText="1"/>
    </xf>
    <xf numFmtId="49" fontId="10" fillId="17" borderId="0" xfId="0" applyNumberFormat="1" applyFont="1" applyFill="1" applyAlignment="1">
      <alignment horizontal="left" vertical="center" wrapText="1"/>
    </xf>
    <xf numFmtId="0" fontId="10" fillId="18" borderId="0" xfId="0" applyFont="1" applyFill="1" applyAlignment="1">
      <alignment horizontal="center" vertical="center" wrapText="1"/>
    </xf>
    <xf numFmtId="49" fontId="10" fillId="18" borderId="0" xfId="0" applyNumberFormat="1" applyFont="1" applyFill="1" applyAlignment="1">
      <alignment horizontal="center" vertical="center" wrapText="1"/>
    </xf>
    <xf numFmtId="49" fontId="10" fillId="18" borderId="0" xfId="0" applyNumberFormat="1" applyFont="1" applyFill="1" applyAlignment="1">
      <alignment horizontal="left" vertical="center" wrapText="1"/>
    </xf>
    <xf numFmtId="0" fontId="10" fillId="19" borderId="0" xfId="0" applyFont="1" applyFill="1" applyAlignment="1">
      <alignment horizontal="center" vertical="center" wrapText="1"/>
    </xf>
    <xf numFmtId="49" fontId="10" fillId="19" borderId="0" xfId="0" applyNumberFormat="1" applyFont="1" applyFill="1" applyAlignment="1">
      <alignment horizontal="center" vertical="center" wrapText="1"/>
    </xf>
    <xf numFmtId="49" fontId="10" fillId="19" borderId="0" xfId="0" applyNumberFormat="1" applyFont="1" applyFill="1" applyAlignment="1">
      <alignment horizontal="left" vertical="center" wrapText="1"/>
    </xf>
    <xf numFmtId="0" fontId="10" fillId="20" borderId="0" xfId="0" applyFont="1" applyFill="1" applyAlignment="1">
      <alignment horizontal="center" vertical="center" wrapText="1"/>
    </xf>
    <xf numFmtId="49" fontId="10" fillId="20" borderId="0" xfId="0" applyNumberFormat="1" applyFont="1" applyFill="1" applyAlignment="1">
      <alignment horizontal="center" vertical="center" wrapText="1"/>
    </xf>
    <xf numFmtId="49" fontId="10" fillId="20" borderId="0" xfId="0" applyNumberFormat="1" applyFont="1" applyFill="1" applyAlignment="1">
      <alignment horizontal="left" vertical="center" wrapText="1"/>
    </xf>
    <xf numFmtId="0" fontId="10" fillId="21" borderId="0" xfId="0" applyFont="1" applyFill="1" applyAlignment="1">
      <alignment horizontal="center" vertical="center" wrapText="1"/>
    </xf>
    <xf numFmtId="49" fontId="10" fillId="21" borderId="0" xfId="0" applyNumberFormat="1" applyFont="1" applyFill="1" applyAlignment="1">
      <alignment horizontal="center" vertical="center" wrapText="1"/>
    </xf>
    <xf numFmtId="49" fontId="10" fillId="21" borderId="0" xfId="0" applyNumberFormat="1" applyFont="1" applyFill="1" applyAlignment="1">
      <alignment horizontal="left" vertical="center" wrapText="1"/>
    </xf>
    <xf numFmtId="0" fontId="9" fillId="22" borderId="0" xfId="0" applyFont="1" applyFill="1" applyAlignment="1">
      <alignment horizontal="center" vertical="center" wrapText="1"/>
    </xf>
    <xf numFmtId="0" fontId="10" fillId="23" borderId="0" xfId="0" applyFont="1" applyFill="1" applyAlignment="1">
      <alignment horizontal="center" vertical="center" wrapText="1"/>
    </xf>
    <xf numFmtId="49" fontId="10" fillId="23" borderId="0" xfId="0" applyNumberFormat="1" applyFont="1" applyFill="1" applyAlignment="1">
      <alignment horizontal="center" vertical="center" wrapText="1"/>
    </xf>
    <xf numFmtId="49" fontId="10" fillId="23" borderId="0" xfId="0" applyNumberFormat="1" applyFont="1" applyFill="1" applyAlignment="1">
      <alignment horizontal="left" vertical="center" wrapText="1"/>
    </xf>
    <xf numFmtId="0" fontId="10" fillId="24" borderId="0" xfId="0" applyFont="1" applyFill="1" applyAlignment="1">
      <alignment horizontal="center" vertical="center" wrapText="1"/>
    </xf>
    <xf numFmtId="49" fontId="10" fillId="24" borderId="0" xfId="0" applyNumberFormat="1" applyFont="1" applyFill="1" applyAlignment="1">
      <alignment horizontal="center" vertical="center" wrapText="1"/>
    </xf>
    <xf numFmtId="49" fontId="10" fillId="24" borderId="0" xfId="0" applyNumberFormat="1" applyFont="1" applyFill="1" applyAlignment="1">
      <alignment horizontal="left" vertical="center" wrapText="1"/>
    </xf>
    <xf numFmtId="0" fontId="10" fillId="25" borderId="0" xfId="0" applyFont="1" applyFill="1" applyAlignment="1">
      <alignment horizontal="center" vertical="center" wrapText="1"/>
    </xf>
    <xf numFmtId="49" fontId="10" fillId="25" borderId="0" xfId="0" applyNumberFormat="1" applyFont="1" applyFill="1" applyAlignment="1">
      <alignment horizontal="center" vertical="center" wrapText="1"/>
    </xf>
    <xf numFmtId="49" fontId="10" fillId="25" borderId="0" xfId="0" applyNumberFormat="1" applyFont="1" applyFill="1" applyAlignment="1">
      <alignment horizontal="left" vertical="center" wrapText="1"/>
    </xf>
    <xf numFmtId="0" fontId="10" fillId="26" borderId="0" xfId="0" applyFont="1" applyFill="1" applyAlignment="1">
      <alignment horizontal="center" vertical="center" wrapText="1"/>
    </xf>
    <xf numFmtId="49" fontId="10" fillId="26" borderId="0" xfId="0" applyNumberFormat="1" applyFont="1" applyFill="1" applyAlignment="1">
      <alignment horizontal="center" vertical="center" wrapText="1"/>
    </xf>
    <xf numFmtId="49" fontId="10" fillId="26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8" borderId="2" xfId="0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838200</xdr:colOff>
      <xdr:row>1</xdr:row>
      <xdr:rowOff>28575</xdr:rowOff>
    </xdr:to>
    <xdr:pic>
      <xdr:nvPicPr>
        <xdr:cNvPr id="2" name="Picture 2" descr="dvhSP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5200650</xdr:colOff>
      <xdr:row>0</xdr:row>
      <xdr:rowOff>0</xdr:rowOff>
    </xdr:from>
    <xdr:to>
      <xdr:col>0</xdr:col>
      <xdr:colOff>6572250</xdr:colOff>
      <xdr:row>1</xdr:row>
      <xdr:rowOff>165100</xdr:rowOff>
    </xdr:to>
    <xdr:pic>
      <xdr:nvPicPr>
        <xdr:cNvPr id="2" name="Picture 2" descr="ahFcV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0"/>
          <a:ext cx="1371600" cy="37465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914400</xdr:colOff>
      <xdr:row>1</xdr:row>
      <xdr:rowOff>161925</xdr:rowOff>
    </xdr:to>
    <xdr:pic>
      <xdr:nvPicPr>
        <xdr:cNvPr id="2" name="Picture 2" descr="NuYXx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123825</xdr:colOff>
      <xdr:row>1</xdr:row>
      <xdr:rowOff>180975</xdr:rowOff>
    </xdr:to>
    <xdr:pic>
      <xdr:nvPicPr>
        <xdr:cNvPr id="2" name="Picture 2" descr="sICcsv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123825</xdr:colOff>
      <xdr:row>1</xdr:row>
      <xdr:rowOff>180975</xdr:rowOff>
    </xdr:to>
    <xdr:pic>
      <xdr:nvPicPr>
        <xdr:cNvPr id="2" name="Picture 2" descr="VXmTBj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933450</xdr:colOff>
      <xdr:row>1</xdr:row>
      <xdr:rowOff>180975</xdr:rowOff>
    </xdr:to>
    <xdr:pic>
      <xdr:nvPicPr>
        <xdr:cNvPr id="2" name="Picture 2" descr="NQMLbS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A41C-D842-45A9-BD73-10E73676B0CD}">
  <sheetPr>
    <outlinePr summaryBelow="0" summaryRight="0"/>
  </sheetPr>
  <dimension ref="A1:I15"/>
  <sheetViews>
    <sheetView showGridLines="0" workbookViewId="0">
      <pane ySplit="4" topLeftCell="A5" activePane="bottomLeft" state="frozen"/>
      <selection pane="bottomLeft" activeCell="E12" sqref="E12"/>
    </sheetView>
  </sheetViews>
  <sheetFormatPr defaultRowHeight="14" x14ac:dyDescent="0.3"/>
  <cols>
    <col min="1" max="1" width="6" customWidth="1"/>
    <col min="2" max="2" width="16" customWidth="1"/>
    <col min="3" max="3" width="11" customWidth="1"/>
    <col min="4" max="4" width="10" customWidth="1"/>
    <col min="5" max="6" width="11" customWidth="1"/>
    <col min="7" max="7" width="38" customWidth="1"/>
    <col min="8" max="8" width="20" customWidth="1"/>
    <col min="9" max="9" width="11" customWidth="1"/>
  </cols>
  <sheetData>
    <row r="1" spans="1:9" ht="30" customHeight="1" x14ac:dyDescent="0.3">
      <c r="A1" s="77" t="s">
        <v>0</v>
      </c>
      <c r="B1" s="78"/>
      <c r="C1" s="78"/>
      <c r="D1" s="78"/>
      <c r="E1" s="78"/>
      <c r="F1" s="78"/>
      <c r="G1" s="78"/>
      <c r="H1" s="78"/>
      <c r="I1" s="78"/>
    </row>
    <row r="2" spans="1:9" ht="28" customHeight="1" x14ac:dyDescent="0.3">
      <c r="A2" s="81" t="s">
        <v>1</v>
      </c>
      <c r="B2" s="78"/>
      <c r="C2" s="78"/>
      <c r="D2" s="78"/>
      <c r="E2" s="78"/>
      <c r="F2" s="78"/>
      <c r="G2" s="78"/>
      <c r="H2" s="78"/>
      <c r="I2" s="78"/>
    </row>
    <row r="4" spans="1:9" ht="32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0" customHeight="1" x14ac:dyDescent="0.3">
      <c r="A5" s="2">
        <v>1</v>
      </c>
      <c r="B5" s="2" t="s">
        <v>11</v>
      </c>
      <c r="C5" s="2" t="s">
        <v>12</v>
      </c>
      <c r="D5" s="3">
        <v>2</v>
      </c>
      <c r="E5" s="3">
        <v>0</v>
      </c>
      <c r="F5" s="3">
        <f t="shared" ref="F5:F12" si="0">E5+D5</f>
        <v>2</v>
      </c>
      <c r="G5" s="4" t="s">
        <v>13</v>
      </c>
      <c r="H5" s="5" t="s">
        <v>14</v>
      </c>
      <c r="I5" s="2" t="s">
        <v>15</v>
      </c>
    </row>
    <row r="6" spans="1:9" ht="30" customHeight="1" x14ac:dyDescent="0.3">
      <c r="A6" s="6">
        <v>2</v>
      </c>
      <c r="B6" s="6" t="s">
        <v>16</v>
      </c>
      <c r="C6" s="6" t="s">
        <v>17</v>
      </c>
      <c r="D6" s="7">
        <v>3</v>
      </c>
      <c r="E6" s="7">
        <f t="shared" ref="E6:E12" si="1">F5</f>
        <v>2</v>
      </c>
      <c r="F6" s="7">
        <f t="shared" si="0"/>
        <v>5</v>
      </c>
      <c r="G6" s="8" t="s">
        <v>18</v>
      </c>
      <c r="H6" s="9" t="s">
        <v>19</v>
      </c>
      <c r="I6" s="6" t="s">
        <v>20</v>
      </c>
    </row>
    <row r="7" spans="1:9" ht="30" customHeight="1" x14ac:dyDescent="0.3">
      <c r="A7" s="6">
        <v>3</v>
      </c>
      <c r="B7" s="6" t="s">
        <v>21</v>
      </c>
      <c r="C7" s="6" t="s">
        <v>22</v>
      </c>
      <c r="D7" s="7">
        <v>1.5</v>
      </c>
      <c r="E7" s="7">
        <f t="shared" si="1"/>
        <v>5</v>
      </c>
      <c r="F7" s="7">
        <f t="shared" si="0"/>
        <v>6.5</v>
      </c>
      <c r="G7" s="8" t="s">
        <v>23</v>
      </c>
      <c r="H7" s="9" t="s">
        <v>24</v>
      </c>
      <c r="I7" s="6" t="s">
        <v>25</v>
      </c>
    </row>
    <row r="8" spans="1:9" ht="30" customHeight="1" x14ac:dyDescent="0.3">
      <c r="A8" s="6">
        <v>4</v>
      </c>
      <c r="B8" s="6" t="s">
        <v>26</v>
      </c>
      <c r="C8" s="6" t="s">
        <v>27</v>
      </c>
      <c r="D8" s="7">
        <v>1</v>
      </c>
      <c r="E8" s="7">
        <f t="shared" si="1"/>
        <v>6.5</v>
      </c>
      <c r="F8" s="7">
        <f t="shared" si="0"/>
        <v>7.5</v>
      </c>
      <c r="G8" s="8" t="s">
        <v>28</v>
      </c>
      <c r="H8" s="10" t="s">
        <v>29</v>
      </c>
      <c r="I8" s="6" t="s">
        <v>30</v>
      </c>
    </row>
    <row r="9" spans="1:9" ht="30" customHeight="1" x14ac:dyDescent="0.3">
      <c r="A9" s="11">
        <v>5</v>
      </c>
      <c r="B9" s="11" t="s">
        <v>31</v>
      </c>
      <c r="C9" s="11" t="s">
        <v>32</v>
      </c>
      <c r="D9" s="12">
        <v>14</v>
      </c>
      <c r="E9" s="12">
        <f t="shared" si="1"/>
        <v>7.5</v>
      </c>
      <c r="F9" s="12">
        <f t="shared" si="0"/>
        <v>21.5</v>
      </c>
      <c r="G9" s="13" t="s">
        <v>33</v>
      </c>
      <c r="H9" s="14" t="s">
        <v>34</v>
      </c>
      <c r="I9" s="11" t="s">
        <v>35</v>
      </c>
    </row>
    <row r="10" spans="1:9" ht="30" customHeight="1" x14ac:dyDescent="0.3">
      <c r="A10" s="11">
        <v>6</v>
      </c>
      <c r="B10" s="11" t="s">
        <v>36</v>
      </c>
      <c r="C10" s="11" t="s">
        <v>37</v>
      </c>
      <c r="D10" s="12">
        <v>1.5</v>
      </c>
      <c r="E10" s="12">
        <f t="shared" si="1"/>
        <v>21.5</v>
      </c>
      <c r="F10" s="12">
        <f t="shared" si="0"/>
        <v>23</v>
      </c>
      <c r="G10" s="13" t="s">
        <v>38</v>
      </c>
      <c r="H10" s="14" t="s">
        <v>39</v>
      </c>
      <c r="I10" s="11" t="s">
        <v>40</v>
      </c>
    </row>
    <row r="11" spans="1:9" ht="30" customHeight="1" x14ac:dyDescent="0.3">
      <c r="A11" s="15">
        <v>7</v>
      </c>
      <c r="B11" s="15" t="s">
        <v>41</v>
      </c>
      <c r="C11" s="15" t="s">
        <v>42</v>
      </c>
      <c r="D11" s="16">
        <v>1</v>
      </c>
      <c r="E11" s="16">
        <f t="shared" si="1"/>
        <v>23</v>
      </c>
      <c r="F11" s="16">
        <f t="shared" si="0"/>
        <v>24</v>
      </c>
      <c r="G11" s="17" t="s">
        <v>43</v>
      </c>
      <c r="H11" s="18" t="s">
        <v>44</v>
      </c>
      <c r="I11" s="15" t="s">
        <v>45</v>
      </c>
    </row>
    <row r="12" spans="1:9" ht="30" customHeight="1" x14ac:dyDescent="0.3">
      <c r="A12" s="15">
        <v>8</v>
      </c>
      <c r="B12" s="15" t="s">
        <v>46</v>
      </c>
      <c r="C12" s="15" t="s">
        <v>47</v>
      </c>
      <c r="D12" s="16">
        <v>24</v>
      </c>
      <c r="E12" s="16">
        <f t="shared" si="1"/>
        <v>24</v>
      </c>
      <c r="F12" s="16">
        <f t="shared" si="0"/>
        <v>48</v>
      </c>
      <c r="G12" s="17" t="s">
        <v>48</v>
      </c>
      <c r="H12" s="19" t="s">
        <v>49</v>
      </c>
      <c r="I12" s="15" t="s">
        <v>50</v>
      </c>
    </row>
    <row r="14" spans="1:9" ht="14.5" x14ac:dyDescent="0.3">
      <c r="A14" s="20"/>
      <c r="B14" s="79" t="s">
        <v>51</v>
      </c>
      <c r="C14" s="80"/>
      <c r="D14" s="21">
        <f>SUM(D5:D11)</f>
        <v>24</v>
      </c>
      <c r="E14" s="20"/>
      <c r="F14" s="21">
        <f>F11</f>
        <v>24</v>
      </c>
      <c r="G14" s="20"/>
      <c r="H14" s="20"/>
      <c r="I14" s="20"/>
    </row>
    <row r="15" spans="1:9" ht="14.5" x14ac:dyDescent="0.3">
      <c r="A15" s="22"/>
      <c r="B15" s="82" t="s">
        <v>52</v>
      </c>
      <c r="C15" s="83"/>
      <c r="D15" s="23">
        <f>SUM(D8:D11)</f>
        <v>17.5</v>
      </c>
      <c r="E15" s="22"/>
      <c r="F15" s="22"/>
      <c r="G15" s="22"/>
      <c r="H15" s="22"/>
      <c r="I15" s="22"/>
    </row>
  </sheetData>
  <mergeCells count="4">
    <mergeCell ref="A1:I1"/>
    <mergeCell ref="B14:C14"/>
    <mergeCell ref="A2:I2"/>
    <mergeCell ref="B15:C15"/>
  </mergeCells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5F5D-D888-4CBE-BE60-1B85D99D0B1F}">
  <sheetPr>
    <outlinePr summaryBelow="0" summaryRight="0"/>
  </sheetPr>
  <dimension ref="A1:A8"/>
  <sheetViews>
    <sheetView workbookViewId="0">
      <selection activeCell="A15" sqref="A15"/>
    </sheetView>
  </sheetViews>
  <sheetFormatPr defaultRowHeight="14" x14ac:dyDescent="0.3"/>
  <cols>
    <col min="1" max="1" width="100" customWidth="1"/>
  </cols>
  <sheetData>
    <row r="1" spans="1:1" ht="16.5" x14ac:dyDescent="0.3">
      <c r="A1" s="24" t="s">
        <v>53</v>
      </c>
    </row>
    <row r="2" spans="1:1" ht="14.5" x14ac:dyDescent="0.3">
      <c r="A2" s="25"/>
    </row>
    <row r="3" spans="1:1" ht="14.5" x14ac:dyDescent="0.3">
      <c r="A3" s="25" t="s">
        <v>54</v>
      </c>
    </row>
    <row r="4" spans="1:1" ht="29" x14ac:dyDescent="0.3">
      <c r="A4" s="25" t="s">
        <v>55</v>
      </c>
    </row>
    <row r="5" spans="1:1" ht="29" x14ac:dyDescent="0.3">
      <c r="A5" s="25" t="s">
        <v>56</v>
      </c>
    </row>
    <row r="6" spans="1:1" ht="14.5" x14ac:dyDescent="0.3">
      <c r="A6" s="25" t="s">
        <v>57</v>
      </c>
    </row>
    <row r="7" spans="1:1" ht="14.5" x14ac:dyDescent="0.3">
      <c r="A7" s="25" t="s">
        <v>58</v>
      </c>
    </row>
    <row r="8" spans="1:1" ht="14.5" x14ac:dyDescent="0.3">
      <c r="A8" s="25" t="s">
        <v>59</v>
      </c>
    </row>
  </sheetData>
  <phoneticPr fontId="1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59A3-C373-40CD-BC18-3BC5760E9A7E}">
  <sheetPr>
    <outlinePr summaryBelow="0" summaryRight="0"/>
  </sheetPr>
  <dimension ref="A1:J14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4" x14ac:dyDescent="0.3"/>
  <cols>
    <col min="1" max="1" width="5" customWidth="1"/>
    <col min="2" max="2" width="23" customWidth="1"/>
    <col min="3" max="3" width="11.75" customWidth="1"/>
    <col min="4" max="5" width="12.33203125" customWidth="1"/>
    <col min="6" max="8" width="8.9140625" customWidth="1"/>
    <col min="9" max="9" width="9.5" customWidth="1"/>
    <col min="10" max="10" width="25.25" customWidth="1"/>
  </cols>
  <sheetData>
    <row r="1" spans="1:10" ht="21.4" customHeight="1" x14ac:dyDescent="0.3">
      <c r="A1" s="26" t="s">
        <v>60</v>
      </c>
      <c r="B1" s="26" t="s">
        <v>61</v>
      </c>
      <c r="C1" s="26" t="s">
        <v>62</v>
      </c>
      <c r="D1" s="26" t="s">
        <v>63</v>
      </c>
      <c r="E1" s="26" t="s">
        <v>64</v>
      </c>
      <c r="F1" s="26" t="s">
        <v>65</v>
      </c>
      <c r="G1" s="26" t="s">
        <v>66</v>
      </c>
      <c r="H1" s="26" t="s">
        <v>67</v>
      </c>
      <c r="I1" s="26" t="s">
        <v>68</v>
      </c>
      <c r="J1" s="26" t="s">
        <v>69</v>
      </c>
    </row>
    <row r="2" spans="1:10" ht="17.899999999999999" customHeight="1" x14ac:dyDescent="0.3">
      <c r="A2" s="27">
        <v>1</v>
      </c>
      <c r="B2" s="28" t="s">
        <v>70</v>
      </c>
      <c r="C2" s="29"/>
      <c r="D2" s="30"/>
      <c r="E2" s="30"/>
      <c r="F2" s="31" t="str">
        <f t="shared" ref="F2:F5" si="0">IF(AND(D2&lt;&gt;"",E2&lt;&gt;""),(E2-D2)/30.4,"")</f>
        <v/>
      </c>
      <c r="G2" s="31" t="str">
        <f t="shared" ref="G2:G5" ca="1" si="1">IF(D2&lt;&gt;"",(TODAY()-D2)/30.4,"")</f>
        <v/>
      </c>
      <c r="H2" s="31" t="str">
        <f t="shared" ref="H2:H5" ca="1" si="2">IF(AND(D2&lt;&gt;"",E2&lt;&gt;""),(E2-TODAY())/30.4,"")</f>
        <v/>
      </c>
      <c r="I2" s="29"/>
      <c r="J2" s="28"/>
    </row>
    <row r="3" spans="1:10" ht="17.899999999999999" customHeight="1" x14ac:dyDescent="0.3">
      <c r="A3" s="27">
        <v>2</v>
      </c>
      <c r="B3" s="28" t="s">
        <v>71</v>
      </c>
      <c r="C3" s="29" t="s">
        <v>72</v>
      </c>
      <c r="D3" s="30"/>
      <c r="E3" s="30"/>
      <c r="F3" s="31" t="str">
        <f t="shared" si="0"/>
        <v/>
      </c>
      <c r="G3" s="31" t="str">
        <f t="shared" ca="1" si="1"/>
        <v/>
      </c>
      <c r="H3" s="31" t="str">
        <f t="shared" ca="1" si="2"/>
        <v/>
      </c>
      <c r="I3" s="29"/>
      <c r="J3" s="28"/>
    </row>
    <row r="4" spans="1:10" ht="17.899999999999999" customHeight="1" x14ac:dyDescent="0.3">
      <c r="A4" s="27">
        <v>3</v>
      </c>
      <c r="B4" s="28" t="s">
        <v>73</v>
      </c>
      <c r="C4" s="29" t="s">
        <v>72</v>
      </c>
      <c r="D4" s="30"/>
      <c r="E4" s="30"/>
      <c r="F4" s="31" t="str">
        <f t="shared" si="0"/>
        <v/>
      </c>
      <c r="G4" s="31" t="str">
        <f t="shared" ca="1" si="1"/>
        <v/>
      </c>
      <c r="H4" s="31" t="str">
        <f t="shared" ca="1" si="2"/>
        <v/>
      </c>
      <c r="I4" s="29"/>
      <c r="J4" s="28"/>
    </row>
    <row r="5" spans="1:10" ht="17.899999999999999" customHeight="1" x14ac:dyDescent="0.3">
      <c r="A5" s="27">
        <v>4</v>
      </c>
      <c r="B5" s="28" t="s">
        <v>74</v>
      </c>
      <c r="C5" s="29" t="s">
        <v>72</v>
      </c>
      <c r="D5" s="30"/>
      <c r="E5" s="30"/>
      <c r="F5" s="31" t="str">
        <f t="shared" si="0"/>
        <v/>
      </c>
      <c r="G5" s="31" t="str">
        <f t="shared" ca="1" si="1"/>
        <v/>
      </c>
      <c r="H5" s="31" t="str">
        <f t="shared" ca="1" si="2"/>
        <v/>
      </c>
      <c r="I5" s="29"/>
      <c r="J5" s="28"/>
    </row>
    <row r="14" spans="1:10" x14ac:dyDescent="0.3">
      <c r="E14" t="s">
        <v>288</v>
      </c>
    </row>
  </sheetData>
  <phoneticPr fontId="11" type="noConversion"/>
  <dataValidations count="1">
    <dataValidation type="list" allowBlank="1" showErrorMessage="1" sqref="C2:C5" xr:uid="{00000000-0002-0000-0200-000000000000}">
      <formula1>"决策立项,勘察设计,招标签约,施工准备,施工实施,调试试运行,竣工验收,缺陷保修"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73D0-E7A1-4DDF-A4CF-47497B8935E8}">
  <sheetPr>
    <outlinePr summaryBelow="0" summaryRight="0"/>
  </sheetPr>
  <dimension ref="A1:F16"/>
  <sheetViews>
    <sheetView workbookViewId="0">
      <pane ySplit="1" topLeftCell="A5" activePane="bottomLeft" state="frozen"/>
      <selection pane="bottomLeft" activeCell="F1" sqref="F1"/>
    </sheetView>
  </sheetViews>
  <sheetFormatPr defaultRowHeight="14" x14ac:dyDescent="0.3"/>
  <cols>
    <col min="1" max="1" width="4.75" customWidth="1"/>
    <col min="2" max="2" width="11.5" customWidth="1"/>
    <col min="3" max="3" width="20.58203125" customWidth="1"/>
    <col min="4" max="4" width="37.75" customWidth="1"/>
    <col min="5" max="5" width="36.08203125" customWidth="1"/>
    <col min="6" max="6" width="14" customWidth="1"/>
  </cols>
  <sheetData>
    <row r="1" spans="1:6" ht="20.25" customHeight="1" x14ac:dyDescent="0.3">
      <c r="A1" s="32" t="s">
        <v>75</v>
      </c>
      <c r="B1" s="32" t="s">
        <v>76</v>
      </c>
      <c r="C1" s="32" t="s">
        <v>77</v>
      </c>
      <c r="D1" s="32" t="s">
        <v>78</v>
      </c>
      <c r="E1" s="32" t="s">
        <v>79</v>
      </c>
      <c r="F1" s="32" t="s">
        <v>80</v>
      </c>
    </row>
    <row r="2" spans="1:6" ht="28.5" customHeight="1" x14ac:dyDescent="0.3">
      <c r="A2" s="33">
        <v>1</v>
      </c>
      <c r="B2" s="34" t="s">
        <v>81</v>
      </c>
      <c r="C2" s="34" t="s">
        <v>82</v>
      </c>
      <c r="D2" s="35" t="s">
        <v>83</v>
      </c>
      <c r="E2" s="35" t="s">
        <v>84</v>
      </c>
      <c r="F2" s="35" t="s">
        <v>85</v>
      </c>
    </row>
    <row r="3" spans="1:6" ht="28.5" customHeight="1" x14ac:dyDescent="0.3">
      <c r="A3" s="33">
        <v>2</v>
      </c>
      <c r="B3" s="34" t="s">
        <v>81</v>
      </c>
      <c r="C3" s="34" t="s">
        <v>86</v>
      </c>
      <c r="D3" s="35" t="s">
        <v>87</v>
      </c>
      <c r="E3" s="35" t="s">
        <v>88</v>
      </c>
      <c r="F3" s="35" t="s">
        <v>89</v>
      </c>
    </row>
    <row r="4" spans="1:6" ht="28.5" customHeight="1" x14ac:dyDescent="0.3">
      <c r="A4" s="33">
        <v>3</v>
      </c>
      <c r="B4" s="34" t="s">
        <v>81</v>
      </c>
      <c r="C4" s="34" t="s">
        <v>90</v>
      </c>
      <c r="D4" s="35" t="s">
        <v>91</v>
      </c>
      <c r="E4" s="35" t="s">
        <v>92</v>
      </c>
      <c r="F4" s="35" t="s">
        <v>93</v>
      </c>
    </row>
    <row r="5" spans="1:6" ht="28.5" customHeight="1" x14ac:dyDescent="0.3">
      <c r="A5" s="33">
        <v>4</v>
      </c>
      <c r="B5" s="34" t="s">
        <v>81</v>
      </c>
      <c r="C5" s="34" t="s">
        <v>94</v>
      </c>
      <c r="D5" s="35" t="s">
        <v>95</v>
      </c>
      <c r="E5" s="35" t="s">
        <v>96</v>
      </c>
      <c r="F5" s="35" t="s">
        <v>97</v>
      </c>
    </row>
    <row r="6" spans="1:6" ht="28.5" customHeight="1" x14ac:dyDescent="0.3">
      <c r="A6" s="33">
        <v>5</v>
      </c>
      <c r="B6" s="34" t="s">
        <v>81</v>
      </c>
      <c r="C6" s="34" t="s">
        <v>98</v>
      </c>
      <c r="D6" s="35" t="s">
        <v>99</v>
      </c>
      <c r="E6" s="35" t="s">
        <v>100</v>
      </c>
      <c r="F6" s="35" t="s">
        <v>101</v>
      </c>
    </row>
    <row r="7" spans="1:6" ht="28.5" customHeight="1" x14ac:dyDescent="0.3">
      <c r="A7" s="33">
        <v>6</v>
      </c>
      <c r="B7" s="34" t="s">
        <v>81</v>
      </c>
      <c r="C7" s="34" t="s">
        <v>102</v>
      </c>
      <c r="D7" s="35" t="s">
        <v>103</v>
      </c>
      <c r="E7" s="35" t="s">
        <v>104</v>
      </c>
      <c r="F7" s="35" t="s">
        <v>105</v>
      </c>
    </row>
    <row r="8" spans="1:6" ht="28.5" customHeight="1" x14ac:dyDescent="0.3">
      <c r="A8" s="36">
        <v>7</v>
      </c>
      <c r="B8" s="37" t="s">
        <v>106</v>
      </c>
      <c r="C8" s="37" t="s">
        <v>107</v>
      </c>
      <c r="D8" s="38" t="s">
        <v>108</v>
      </c>
      <c r="E8" s="38" t="s">
        <v>109</v>
      </c>
      <c r="F8" s="38" t="s">
        <v>110</v>
      </c>
    </row>
    <row r="9" spans="1:6" ht="28.5" customHeight="1" x14ac:dyDescent="0.3">
      <c r="A9" s="36">
        <v>8</v>
      </c>
      <c r="B9" s="37" t="s">
        <v>106</v>
      </c>
      <c r="C9" s="37" t="s">
        <v>111</v>
      </c>
      <c r="D9" s="38" t="s">
        <v>112</v>
      </c>
      <c r="E9" s="38" t="s">
        <v>113</v>
      </c>
      <c r="F9" s="38" t="s">
        <v>114</v>
      </c>
    </row>
    <row r="10" spans="1:6" ht="28.5" customHeight="1" x14ac:dyDescent="0.3">
      <c r="A10" s="36">
        <v>9</v>
      </c>
      <c r="B10" s="37" t="s">
        <v>106</v>
      </c>
      <c r="C10" s="37" t="s">
        <v>115</v>
      </c>
      <c r="D10" s="38" t="s">
        <v>116</v>
      </c>
      <c r="E10" s="38" t="s">
        <v>117</v>
      </c>
      <c r="F10" s="38" t="s">
        <v>118</v>
      </c>
    </row>
    <row r="11" spans="1:6" ht="28.5" customHeight="1" x14ac:dyDescent="0.3">
      <c r="A11" s="39">
        <v>10</v>
      </c>
      <c r="B11" s="40" t="s">
        <v>119</v>
      </c>
      <c r="C11" s="40" t="s">
        <v>120</v>
      </c>
      <c r="D11" s="41" t="s">
        <v>121</v>
      </c>
      <c r="E11" s="41" t="s">
        <v>122</v>
      </c>
      <c r="F11" s="41" t="s">
        <v>114</v>
      </c>
    </row>
    <row r="12" spans="1:6" ht="28.5" customHeight="1" x14ac:dyDescent="0.3">
      <c r="A12" s="39">
        <v>11</v>
      </c>
      <c r="B12" s="40" t="s">
        <v>119</v>
      </c>
      <c r="C12" s="40" t="s">
        <v>123</v>
      </c>
      <c r="D12" s="41" t="s">
        <v>124</v>
      </c>
      <c r="E12" s="41" t="s">
        <v>125</v>
      </c>
      <c r="F12" s="41" t="s">
        <v>118</v>
      </c>
    </row>
    <row r="13" spans="1:6" ht="28.5" customHeight="1" x14ac:dyDescent="0.3">
      <c r="A13" s="42">
        <v>12</v>
      </c>
      <c r="B13" s="43" t="s">
        <v>126</v>
      </c>
      <c r="C13" s="43" t="s">
        <v>127</v>
      </c>
      <c r="D13" s="44" t="s">
        <v>128</v>
      </c>
      <c r="E13" s="44" t="s">
        <v>129</v>
      </c>
      <c r="F13" s="44" t="s">
        <v>130</v>
      </c>
    </row>
    <row r="14" spans="1:6" ht="28.5" customHeight="1" x14ac:dyDescent="0.3">
      <c r="A14" s="45">
        <v>13</v>
      </c>
      <c r="B14" s="46" t="s">
        <v>131</v>
      </c>
      <c r="C14" s="46" t="s">
        <v>132</v>
      </c>
      <c r="D14" s="47" t="s">
        <v>133</v>
      </c>
      <c r="E14" s="47" t="s">
        <v>134</v>
      </c>
      <c r="F14" s="47" t="s">
        <v>135</v>
      </c>
    </row>
    <row r="15" spans="1:6" ht="28.5" customHeight="1" x14ac:dyDescent="0.3">
      <c r="A15" s="45">
        <v>14</v>
      </c>
      <c r="B15" s="46" t="s">
        <v>131</v>
      </c>
      <c r="C15" s="46" t="s">
        <v>136</v>
      </c>
      <c r="D15" s="47" t="s">
        <v>137</v>
      </c>
      <c r="E15" s="47" t="s">
        <v>138</v>
      </c>
      <c r="F15" s="47" t="s">
        <v>139</v>
      </c>
    </row>
    <row r="16" spans="1:6" ht="28.5" customHeight="1" x14ac:dyDescent="0.3">
      <c r="A16" s="45">
        <v>15</v>
      </c>
      <c r="B16" s="46" t="s">
        <v>131</v>
      </c>
      <c r="C16" s="46" t="s">
        <v>140</v>
      </c>
      <c r="D16" s="47" t="s">
        <v>141</v>
      </c>
      <c r="E16" s="47" t="s">
        <v>142</v>
      </c>
      <c r="F16" s="47" t="s">
        <v>143</v>
      </c>
    </row>
  </sheetData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931A-F1F3-4F38-8FA7-78213C842620}">
  <sheetPr>
    <outlinePr summaryBelow="0" summaryRight="0"/>
  </sheetPr>
  <dimension ref="A1:F15"/>
  <sheetViews>
    <sheetView workbookViewId="0">
      <pane ySplit="1" topLeftCell="A2" activePane="bottomLeft" state="frozen"/>
      <selection pane="bottomLeft" activeCell="F2" sqref="F2"/>
    </sheetView>
  </sheetViews>
  <sheetFormatPr defaultRowHeight="14" x14ac:dyDescent="0.3"/>
  <cols>
    <col min="1" max="1" width="4.75" customWidth="1"/>
    <col min="2" max="2" width="8.9140625" customWidth="1"/>
    <col min="3" max="3" width="14" customWidth="1"/>
    <col min="4" max="4" width="35.4140625" customWidth="1"/>
    <col min="5" max="5" width="32.08203125" customWidth="1"/>
    <col min="6" max="6" width="11.75" customWidth="1"/>
  </cols>
  <sheetData>
    <row r="1" spans="1:6" ht="20.25" customHeight="1" x14ac:dyDescent="0.3">
      <c r="A1" s="48" t="s">
        <v>144</v>
      </c>
      <c r="B1" s="48" t="s">
        <v>145</v>
      </c>
      <c r="C1" s="48" t="s">
        <v>146</v>
      </c>
      <c r="D1" s="48" t="s">
        <v>147</v>
      </c>
      <c r="E1" s="48" t="s">
        <v>148</v>
      </c>
      <c r="F1" s="48" t="s">
        <v>149</v>
      </c>
    </row>
    <row r="2" spans="1:6" ht="26.15" customHeight="1" x14ac:dyDescent="0.3">
      <c r="A2" s="49">
        <v>1</v>
      </c>
      <c r="B2" s="50" t="s">
        <v>150</v>
      </c>
      <c r="C2" s="50" t="s">
        <v>151</v>
      </c>
      <c r="D2" s="51" t="s">
        <v>152</v>
      </c>
      <c r="E2" s="51" t="s">
        <v>153</v>
      </c>
      <c r="F2" s="51" t="s">
        <v>154</v>
      </c>
    </row>
    <row r="3" spans="1:6" ht="26.15" customHeight="1" x14ac:dyDescent="0.3">
      <c r="A3" s="49">
        <v>2</v>
      </c>
      <c r="B3" s="50" t="s">
        <v>150</v>
      </c>
      <c r="C3" s="50" t="s">
        <v>155</v>
      </c>
      <c r="D3" s="51" t="s">
        <v>156</v>
      </c>
      <c r="E3" s="51" t="s">
        <v>157</v>
      </c>
      <c r="F3" s="51" t="s">
        <v>158</v>
      </c>
    </row>
    <row r="4" spans="1:6" ht="26.15" customHeight="1" x14ac:dyDescent="0.3">
      <c r="A4" s="49">
        <v>3</v>
      </c>
      <c r="B4" s="50" t="s">
        <v>150</v>
      </c>
      <c r="C4" s="50" t="s">
        <v>159</v>
      </c>
      <c r="D4" s="51" t="s">
        <v>160</v>
      </c>
      <c r="E4" s="51" t="s">
        <v>161</v>
      </c>
      <c r="F4" s="51" t="s">
        <v>162</v>
      </c>
    </row>
    <row r="5" spans="1:6" ht="26.15" customHeight="1" x14ac:dyDescent="0.3">
      <c r="A5" s="52">
        <v>4</v>
      </c>
      <c r="B5" s="53" t="s">
        <v>163</v>
      </c>
      <c r="C5" s="53" t="s">
        <v>164</v>
      </c>
      <c r="D5" s="54" t="s">
        <v>165</v>
      </c>
      <c r="E5" s="54" t="s">
        <v>166</v>
      </c>
      <c r="F5" s="54" t="s">
        <v>167</v>
      </c>
    </row>
    <row r="6" spans="1:6" ht="26.15" customHeight="1" x14ac:dyDescent="0.3">
      <c r="A6" s="52">
        <v>5</v>
      </c>
      <c r="B6" s="53" t="s">
        <v>163</v>
      </c>
      <c r="C6" s="53" t="s">
        <v>168</v>
      </c>
      <c r="D6" s="54" t="s">
        <v>169</v>
      </c>
      <c r="E6" s="54" t="s">
        <v>170</v>
      </c>
      <c r="F6" s="54" t="s">
        <v>171</v>
      </c>
    </row>
    <row r="7" spans="1:6" ht="26.15" customHeight="1" x14ac:dyDescent="0.3">
      <c r="A7" s="52">
        <v>6</v>
      </c>
      <c r="B7" s="53" t="s">
        <v>163</v>
      </c>
      <c r="C7" s="53" t="s">
        <v>172</v>
      </c>
      <c r="D7" s="54" t="s">
        <v>173</v>
      </c>
      <c r="E7" s="54" t="s">
        <v>174</v>
      </c>
      <c r="F7" s="54" t="s">
        <v>175</v>
      </c>
    </row>
    <row r="8" spans="1:6" ht="26.15" customHeight="1" x14ac:dyDescent="0.3">
      <c r="A8" s="52">
        <v>7</v>
      </c>
      <c r="B8" s="53" t="s">
        <v>163</v>
      </c>
      <c r="C8" s="53" t="s">
        <v>176</v>
      </c>
      <c r="D8" s="54" t="s">
        <v>177</v>
      </c>
      <c r="E8" s="54" t="s">
        <v>178</v>
      </c>
      <c r="F8" s="54" t="s">
        <v>154</v>
      </c>
    </row>
    <row r="9" spans="1:6" ht="26.15" customHeight="1" x14ac:dyDescent="0.3">
      <c r="A9" s="55">
        <v>8</v>
      </c>
      <c r="B9" s="56" t="s">
        <v>179</v>
      </c>
      <c r="C9" s="56" t="s">
        <v>180</v>
      </c>
      <c r="D9" s="57" t="s">
        <v>181</v>
      </c>
      <c r="E9" s="57" t="s">
        <v>182</v>
      </c>
      <c r="F9" s="57" t="s">
        <v>183</v>
      </c>
    </row>
    <row r="10" spans="1:6" ht="26.15" customHeight="1" x14ac:dyDescent="0.3">
      <c r="A10" s="55">
        <v>9</v>
      </c>
      <c r="B10" s="56" t="s">
        <v>179</v>
      </c>
      <c r="C10" s="56" t="s">
        <v>184</v>
      </c>
      <c r="D10" s="57" t="s">
        <v>185</v>
      </c>
      <c r="E10" s="57" t="s">
        <v>186</v>
      </c>
      <c r="F10" s="57" t="s">
        <v>187</v>
      </c>
    </row>
    <row r="11" spans="1:6" ht="26.15" customHeight="1" x14ac:dyDescent="0.3">
      <c r="A11" s="55">
        <v>10</v>
      </c>
      <c r="B11" s="56" t="s">
        <v>179</v>
      </c>
      <c r="C11" s="56" t="s">
        <v>188</v>
      </c>
      <c r="D11" s="57" t="s">
        <v>189</v>
      </c>
      <c r="E11" s="57" t="s">
        <v>190</v>
      </c>
      <c r="F11" s="57" t="s">
        <v>154</v>
      </c>
    </row>
    <row r="12" spans="1:6" ht="26.15" customHeight="1" x14ac:dyDescent="0.3">
      <c r="A12" s="58">
        <v>11</v>
      </c>
      <c r="B12" s="59" t="s">
        <v>179</v>
      </c>
      <c r="C12" s="59" t="s">
        <v>191</v>
      </c>
      <c r="D12" s="60" t="s">
        <v>192</v>
      </c>
      <c r="E12" s="60" t="s">
        <v>193</v>
      </c>
      <c r="F12" s="60" t="s">
        <v>194</v>
      </c>
    </row>
    <row r="13" spans="1:6" ht="26.15" customHeight="1" x14ac:dyDescent="0.3">
      <c r="A13" s="58">
        <v>12</v>
      </c>
      <c r="B13" s="59" t="s">
        <v>195</v>
      </c>
      <c r="C13" s="59" t="s">
        <v>196</v>
      </c>
      <c r="D13" s="60" t="s">
        <v>197</v>
      </c>
      <c r="E13" s="60" t="s">
        <v>198</v>
      </c>
      <c r="F13" s="60" t="s">
        <v>199</v>
      </c>
    </row>
    <row r="14" spans="1:6" ht="26.15" customHeight="1" x14ac:dyDescent="0.3">
      <c r="A14" s="61">
        <v>13</v>
      </c>
      <c r="B14" s="62" t="s">
        <v>195</v>
      </c>
      <c r="C14" s="62" t="s">
        <v>200</v>
      </c>
      <c r="D14" s="63" t="s">
        <v>201</v>
      </c>
      <c r="E14" s="63" t="s">
        <v>202</v>
      </c>
      <c r="F14" s="63" t="s">
        <v>203</v>
      </c>
    </row>
    <row r="15" spans="1:6" ht="26.15" customHeight="1" x14ac:dyDescent="0.3">
      <c r="A15" s="61">
        <v>14</v>
      </c>
      <c r="B15" s="62" t="s">
        <v>204</v>
      </c>
      <c r="C15" s="62" t="s">
        <v>205</v>
      </c>
      <c r="D15" s="63" t="s">
        <v>206</v>
      </c>
      <c r="E15" s="63" t="s">
        <v>207</v>
      </c>
      <c r="F15" s="63" t="s">
        <v>208</v>
      </c>
    </row>
  </sheetData>
  <phoneticPr fontId="1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0842-E8ED-4F92-B92D-7419CFD39689}">
  <sheetPr>
    <outlinePr summaryBelow="0" summaryRight="0"/>
  </sheetPr>
  <dimension ref="A1:G13"/>
  <sheetViews>
    <sheetView workbookViewId="0">
      <pane ySplit="1" topLeftCell="A2" activePane="bottomLeft" state="frozen"/>
      <selection pane="bottomLeft" activeCell="C4" sqref="C4"/>
    </sheetView>
  </sheetViews>
  <sheetFormatPr defaultRowHeight="14" x14ac:dyDescent="0.3"/>
  <cols>
    <col min="1" max="1" width="4.75" customWidth="1"/>
    <col min="2" max="2" width="14" customWidth="1"/>
    <col min="3" max="3" width="18" customWidth="1"/>
    <col min="4" max="4" width="21.9140625" customWidth="1"/>
    <col min="5" max="5" width="37.6640625" customWidth="1"/>
    <col min="6" max="6" width="29.83203125" customWidth="1"/>
    <col min="7" max="7" width="21.9140625" customWidth="1"/>
  </cols>
  <sheetData>
    <row r="1" spans="1:7" ht="20.25" customHeight="1" x14ac:dyDescent="0.3">
      <c r="A1" s="64" t="s">
        <v>209</v>
      </c>
      <c r="B1" s="64" t="s">
        <v>210</v>
      </c>
      <c r="C1" s="64" t="s">
        <v>211</v>
      </c>
      <c r="D1" s="64" t="s">
        <v>212</v>
      </c>
      <c r="E1" s="64" t="s">
        <v>213</v>
      </c>
      <c r="F1" s="64" t="s">
        <v>214</v>
      </c>
      <c r="G1" s="64" t="s">
        <v>215</v>
      </c>
    </row>
    <row r="2" spans="1:7" ht="33.25" customHeight="1" x14ac:dyDescent="0.3">
      <c r="A2" s="65">
        <v>1</v>
      </c>
      <c r="B2" s="66" t="s">
        <v>216</v>
      </c>
      <c r="C2" s="66" t="s">
        <v>217</v>
      </c>
      <c r="D2" s="67" t="s">
        <v>218</v>
      </c>
      <c r="E2" s="67" t="s">
        <v>219</v>
      </c>
      <c r="F2" s="67" t="s">
        <v>220</v>
      </c>
      <c r="G2" s="67" t="s">
        <v>221</v>
      </c>
    </row>
    <row r="3" spans="1:7" ht="33.25" customHeight="1" x14ac:dyDescent="0.3">
      <c r="A3" s="65">
        <v>2</v>
      </c>
      <c r="B3" s="66" t="s">
        <v>222</v>
      </c>
      <c r="C3" s="66" t="s">
        <v>223</v>
      </c>
      <c r="D3" s="67" t="s">
        <v>224</v>
      </c>
      <c r="E3" s="67" t="s">
        <v>225</v>
      </c>
      <c r="F3" s="67" t="s">
        <v>226</v>
      </c>
      <c r="G3" s="67" t="s">
        <v>227</v>
      </c>
    </row>
    <row r="4" spans="1:7" ht="33.25" customHeight="1" x14ac:dyDescent="0.3">
      <c r="A4" s="65">
        <v>3</v>
      </c>
      <c r="B4" s="66" t="s">
        <v>228</v>
      </c>
      <c r="C4" s="66" t="s">
        <v>229</v>
      </c>
      <c r="D4" s="67" t="s">
        <v>230</v>
      </c>
      <c r="E4" s="67" t="s">
        <v>231</v>
      </c>
      <c r="F4" s="67" t="s">
        <v>232</v>
      </c>
      <c r="G4" s="67" t="s">
        <v>233</v>
      </c>
    </row>
    <row r="5" spans="1:7" ht="33.25" customHeight="1" x14ac:dyDescent="0.3">
      <c r="A5" s="68">
        <v>4</v>
      </c>
      <c r="B5" s="69" t="s">
        <v>234</v>
      </c>
      <c r="C5" s="69" t="s">
        <v>235</v>
      </c>
      <c r="D5" s="70" t="s">
        <v>236</v>
      </c>
      <c r="E5" s="70" t="s">
        <v>237</v>
      </c>
      <c r="F5" s="70" t="s">
        <v>238</v>
      </c>
      <c r="G5" s="70" t="s">
        <v>239</v>
      </c>
    </row>
    <row r="6" spans="1:7" ht="33.25" customHeight="1" x14ac:dyDescent="0.3">
      <c r="A6" s="68">
        <v>5</v>
      </c>
      <c r="B6" s="69" t="s">
        <v>240</v>
      </c>
      <c r="C6" s="69" t="s">
        <v>241</v>
      </c>
      <c r="D6" s="70" t="s">
        <v>242</v>
      </c>
      <c r="E6" s="70" t="s">
        <v>243</v>
      </c>
      <c r="F6" s="70" t="s">
        <v>244</v>
      </c>
      <c r="G6" s="70" t="s">
        <v>245</v>
      </c>
    </row>
    <row r="7" spans="1:7" ht="33.25" customHeight="1" x14ac:dyDescent="0.3">
      <c r="A7" s="68">
        <v>6</v>
      </c>
      <c r="B7" s="69" t="s">
        <v>246</v>
      </c>
      <c r="C7" s="69" t="s">
        <v>247</v>
      </c>
      <c r="D7" s="70" t="s">
        <v>248</v>
      </c>
      <c r="E7" s="70" t="s">
        <v>249</v>
      </c>
      <c r="F7" s="70" t="s">
        <v>250</v>
      </c>
      <c r="G7" s="70" t="s">
        <v>251</v>
      </c>
    </row>
    <row r="8" spans="1:7" ht="33.25" customHeight="1" x14ac:dyDescent="0.3">
      <c r="A8" s="68">
        <v>7</v>
      </c>
      <c r="B8" s="69" t="s">
        <v>252</v>
      </c>
      <c r="C8" s="69" t="s">
        <v>253</v>
      </c>
      <c r="D8" s="70" t="s">
        <v>254</v>
      </c>
      <c r="E8" s="70" t="s">
        <v>255</v>
      </c>
      <c r="F8" s="70" t="s">
        <v>256</v>
      </c>
      <c r="G8" s="70" t="s">
        <v>257</v>
      </c>
    </row>
    <row r="9" spans="1:7" ht="33.25" customHeight="1" x14ac:dyDescent="0.3">
      <c r="A9" s="71">
        <v>8</v>
      </c>
      <c r="B9" s="72" t="s">
        <v>258</v>
      </c>
      <c r="C9" s="72" t="s">
        <v>259</v>
      </c>
      <c r="D9" s="73" t="s">
        <v>260</v>
      </c>
      <c r="E9" s="73" t="s">
        <v>261</v>
      </c>
      <c r="F9" s="73" t="s">
        <v>262</v>
      </c>
      <c r="G9" s="73" t="s">
        <v>263</v>
      </c>
    </row>
    <row r="10" spans="1:7" ht="33.25" customHeight="1" x14ac:dyDescent="0.3">
      <c r="A10" s="71">
        <v>9</v>
      </c>
      <c r="B10" s="72" t="s">
        <v>264</v>
      </c>
      <c r="C10" s="72" t="s">
        <v>265</v>
      </c>
      <c r="D10" s="73" t="s">
        <v>266</v>
      </c>
      <c r="E10" s="73" t="s">
        <v>267</v>
      </c>
      <c r="F10" s="73" t="s">
        <v>268</v>
      </c>
      <c r="G10" s="73" t="s">
        <v>269</v>
      </c>
    </row>
    <row r="11" spans="1:7" ht="33.25" customHeight="1" x14ac:dyDescent="0.3">
      <c r="A11" s="74">
        <v>10</v>
      </c>
      <c r="B11" s="75" t="s">
        <v>270</v>
      </c>
      <c r="C11" s="75" t="s">
        <v>271</v>
      </c>
      <c r="D11" s="76" t="s">
        <v>272</v>
      </c>
      <c r="E11" s="76" t="s">
        <v>273</v>
      </c>
      <c r="F11" s="76" t="s">
        <v>274</v>
      </c>
      <c r="G11" s="76" t="s">
        <v>275</v>
      </c>
    </row>
    <row r="12" spans="1:7" ht="33.25" customHeight="1" x14ac:dyDescent="0.3">
      <c r="A12" s="74">
        <v>11</v>
      </c>
      <c r="B12" s="75" t="s">
        <v>276</v>
      </c>
      <c r="C12" s="75" t="s">
        <v>277</v>
      </c>
      <c r="D12" s="76" t="s">
        <v>278</v>
      </c>
      <c r="E12" s="76" t="s">
        <v>279</v>
      </c>
      <c r="F12" s="76" t="s">
        <v>280</v>
      </c>
      <c r="G12" s="76" t="s">
        <v>281</v>
      </c>
    </row>
    <row r="13" spans="1:7" ht="33.25" customHeight="1" x14ac:dyDescent="0.3">
      <c r="A13" s="74">
        <v>12</v>
      </c>
      <c r="B13" s="75" t="s">
        <v>282</v>
      </c>
      <c r="C13" s="75" t="s">
        <v>283</v>
      </c>
      <c r="D13" s="76" t="s">
        <v>284</v>
      </c>
      <c r="E13" s="76" t="s">
        <v>285</v>
      </c>
      <c r="F13" s="76" t="s">
        <v>286</v>
      </c>
      <c r="G13" s="76" t="s">
        <v>287</v>
      </c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工期计划表</vt:lpstr>
      <vt:lpstr>说明</vt:lpstr>
      <vt:lpstr>多项目进展总表</vt:lpstr>
      <vt:lpstr>施工实施步骤明细</vt:lpstr>
      <vt:lpstr>预算决算管理点</vt:lpstr>
      <vt:lpstr>预算决算配套单据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2026-10-15T08:16:59Z</dcterms:created>
  <dcterms:modified xsi:type="dcterms:W3CDTF">2026-10-19T10:12:35Z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{"Label":"1","ContentProducer":"001191110102MACQD9K64010000","ProduceID":"7696789606164008240","ReservedCode1":"","ContentPropagator":"","PropagateID":"","ReservedCode2":""}</vt:lpwstr>
  </property>
</Properties>
</file>